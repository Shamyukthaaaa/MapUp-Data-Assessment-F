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yu\Downloads\Submissions\"/>
    </mc:Choice>
  </mc:AlternateContent>
  <xr:revisionPtr revIDLastSave="0" documentId="8_{F92016AE-9BD4-45AC-83A7-1651ADA7363A}" xr6:coauthVersionLast="47" xr6:coauthVersionMax="47" xr10:uidLastSave="{00000000-0000-0000-0000-000000000000}"/>
  <bookViews>
    <workbookView xWindow="-108" yWindow="-108" windowWidth="23256" windowHeight="1257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8" l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B30" i="18"/>
  <c r="B29" i="18"/>
  <c r="B28" i="18"/>
  <c r="C5" i="15"/>
  <c r="H41" i="1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C22" i="19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<sst xmlns="http://schemas.openxmlformats.org/spreadsheetml/2006/main" count="323" uniqueCount="178">
  <si>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</si>
  <si>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</si>
  <si>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</si>
  <si>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</si>
  <si>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</si>
  <si>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</si>
  <si>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</si>
  <si>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</si>
  <si>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</si>
  <si>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</si>
  <si>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</si>
  <si>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</si>
  <si>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</si>
  <si>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</si>
  <si>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</si>
  <si>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</si>
  <si>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</si>
  <si>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</si>
  <si>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</si>
  <si>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</si>
  <si>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</si>
  <si>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</si>
  <si>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</si>
  <si>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</si>
  <si>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</si>
  <si>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</si>
  <si>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</si>
  <si>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</si>
  <si>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</si>
  <si>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</si>
  <si>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</si>
  <si>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</si>
  <si>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</si>
  <si>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</si>
  <si>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</si>
  <si>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</si>
  <si>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</si>
  <si>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</si>
  <si>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</si>
  <si>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</si>
  <si>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</si>
  <si>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</si>
  <si>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</si>
  <si>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</si>
  <si>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</si>
  <si>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</si>
  <si>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</si>
  <si>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</si>
  <si>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</si>
  <si>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</si>
  <si>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</si>
  <si>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</si>
  <si>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</si>
  <si>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</si>
  <si>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</si>
  <si>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</si>
  <si>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</si>
  <si>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</si>
  <si>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</si>
  <si>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</si>
  <si>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</si>
  <si>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</si>
  <si>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</si>
  <si>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</si>
  <si>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</si>
  <si>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</si>
  <si>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</si>
  <si>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</si>
  <si>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</si>
  <si>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</si>
  <si>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</si>
  <si>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</si>
  <si>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</si>
  <si>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</si>
  <si>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</si>
  <si>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</si>
  <si>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</si>
  <si>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</si>
  <si>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</si>
  <si>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</si>
  <si>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</si>
  <si>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</si>
  <si>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</si>
  <si>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</si>
  <si>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</si>
  <si>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</si>
  <si>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</si>
  <si>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</si>
  <si>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</si>
  <si>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</si>
  <si>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</si>
  <si>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</si>
  <si>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</si>
  <si>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</si>
  <si>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</si>
  <si>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</si>
  <si>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</si>
  <si>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</si>
  <si>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</si>
  <si>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</si>
  <si>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</si>
  <si>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</si>
  <si>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</si>
  <si>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</si>
  <si>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</si>
  <si>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</si>
  <si>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</si>
  <si>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</si>
  <si>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</si>
  <si>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</si>
  <si>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</si>
  <si>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</si>
  <si>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</si>
  <si>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</si>
  <si>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</si>
  <si>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</si>
  <si>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</si>
  <si>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</si>
  <si>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</si>
  <si>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</si>
  <si>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</si>
  <si>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</si>
  <si>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</si>
  <si>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</si>
  <si>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</si>
  <si>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</si>
  <si>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</si>
  <si>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</si>
  <si>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</si>
  <si>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</si>
  <si>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</si>
  <si>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</si>
  <si>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</si>
  <si>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</si>
  <si>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</si>
  <si>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</si>
  <si>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</si>
  <si>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</si>
  <si>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</si>
  <si>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</si>
  <si>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</si>
  <si>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</si>
  <si>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</si>
  <si>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</si>
  <si>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</si>
  <si>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</si>
  <si>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</si>
  <si>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</si>
  <si>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</si>
  <si>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</si>
  <si>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</si>
  <si>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</si>
  <si>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</si>
  <si>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</si>
  <si>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</si>
  <si>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</si>
  <si>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</si>
  <si>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</si>
  <si>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</si>
  <si>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</si>
  <si>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</si>
  <si>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</si>
  <si>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</si>
  <si>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</si>
  <si>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</si>
  <si>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</si>
  <si>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</si>
  <si>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</si>
  <si>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</si>
  <si>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</si>
  <si>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</si>
  <si>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</si>
  <si>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</si>
  <si>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</si>
  <si>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</si>
  <si>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</si>
  <si>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</si>
  <si>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=SUMIF(DATASET!H2:H40,"&gt;20")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</si>
</sst>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111827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/>
    <xf numFmtId="0" fontId="3" fillId="0" borderId="0" xfId="0" quotePrefix="1" applyFont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0" sqref="A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86" zoomScaleNormal="86" workbookViewId="0">
      <pane ySplit="1" topLeftCell="A17" activePane="bottomLeft" state="frozen"/>
      <selection activeCell="E1" sqref="E1"/>
      <selection pane="bottomLeft" activeCell="J5" sqref="J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88671875" style="47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22" priority="5"/>
  </conditionalFormatting>
  <conditionalFormatting sqref="B1:B1048576">
    <cfRule type="duplicateValues" dxfId="21" priority="4"/>
  </conditionalFormatting>
  <conditionalFormatting sqref="A1:XFD1048576">
    <cfRule type="expression" dxfId="20" priority="2">
      <formula>AND(ISNUMBER($1:$1048576),$1:$1048576=0)</formula>
    </cfRule>
    <cfRule type="cellIs" dxfId="19" priority="3" operator="equal">
      <formula>-1</formula>
    </cfRule>
  </conditionalFormatting>
  <conditionalFormatting sqref="G1:W40">
    <cfRule type="cellIs" dxfId="18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28.33203125" style="1" bestFit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SUMIF(Dataset!H2:H40,"&gt;20")</f>
        <v>1473.0000000000002</v>
      </c>
      <c r="D5" s="45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7" sqref="E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">
        <v>2.7</v>
      </c>
      <c r="C6" s="11">
        <f>IFERROR(VLOOKUP($A6, Dataset!$A$2:$N$40, 2, FALSE), "")</f>
        <v>20000</v>
      </c>
      <c r="D6" s="11"/>
      <c r="E6" s="11"/>
      <c r="F6" s="8"/>
    </row>
    <row r="7" spans="1:7" ht="14.4" x14ac:dyDescent="0.3">
      <c r="A7" s="7" t="s">
        <v>4</v>
      </c>
      <c r="B7" s="1">
        <v>2.7</v>
      </c>
      <c r="C7" s="11">
        <f>IFERROR(VLOOKUP($A7, Dataset!$A$2:$N$40, 2, FALSE), "")</f>
        <v>20002</v>
      </c>
      <c r="D7" s="11"/>
      <c r="E7" s="11"/>
      <c r="F7" s="8"/>
    </row>
    <row r="8" spans="1:7" ht="14.4" x14ac:dyDescent="0.3">
      <c r="A8" s="7" t="s">
        <v>7</v>
      </c>
      <c r="B8" s="1">
        <v>3.6</v>
      </c>
      <c r="C8" s="11">
        <f>IFERROR(VLOOKUP($A8, Dataset!$A$2:$N$40, 2, FALSE), "")</f>
        <v>20004</v>
      </c>
      <c r="D8" s="11"/>
      <c r="E8" s="11"/>
      <c r="F8" s="8"/>
    </row>
    <row r="9" spans="1:7" ht="14.4" x14ac:dyDescent="0.3">
      <c r="A9" s="7" t="s">
        <v>8</v>
      </c>
      <c r="B9" s="1">
        <v>4.9000000000000004</v>
      </c>
      <c r="C9" s="11">
        <f>IFERROR(VLOOKUP($A9, Dataset!$A$2:$N$40, 2, FALSE), "")</f>
        <v>20006</v>
      </c>
      <c r="D9" s="11"/>
      <c r="E9" s="11"/>
      <c r="F9" s="8"/>
    </row>
    <row r="10" spans="1:7" ht="14.4" x14ac:dyDescent="0.3">
      <c r="A10" s="7" t="s">
        <v>11</v>
      </c>
      <c r="B10" s="1">
        <v>9.4</v>
      </c>
      <c r="C10" s="11">
        <f>IFERROR(VLOOKUP($A10, Dataset!$A$2:$N$40, 2, FALSE), "")</f>
        <v>20012</v>
      </c>
      <c r="D10" s="11"/>
      <c r="E10" s="11"/>
      <c r="F10" s="8"/>
    </row>
    <row r="11" spans="1:7" ht="14.4" x14ac:dyDescent="0.3">
      <c r="A11" s="7" t="s">
        <v>12</v>
      </c>
      <c r="B11" s="1">
        <v>11.6</v>
      </c>
      <c r="C11" s="11">
        <f>IFERROR(VLOOKUP($A11, Dataset!$A$2:$N$40, 2, FALSE), "")</f>
        <v>20014</v>
      </c>
      <c r="D11" s="11"/>
      <c r="E11" s="11"/>
      <c r="F11" s="8"/>
    </row>
    <row r="12" spans="1:7" ht="14.4" x14ac:dyDescent="0.3">
      <c r="A12" s="7" t="s">
        <v>14</v>
      </c>
      <c r="B12" s="1">
        <v>18.399999999999999</v>
      </c>
      <c r="C12" s="11">
        <f>IFERROR(VLOOKUP($A12, Dataset!$A$2:$N$40, 2, FALSE), "")</f>
        <v>20018</v>
      </c>
      <c r="D12" s="11"/>
      <c r="E12" s="11"/>
      <c r="F12" s="8"/>
    </row>
    <row r="13" spans="1:7" ht="14.4" x14ac:dyDescent="0.3">
      <c r="A13" s="7" t="s">
        <v>15</v>
      </c>
      <c r="B13" s="1">
        <v>18.399999999999999</v>
      </c>
      <c r="C13" s="11">
        <f>IFERROR(VLOOKUP($A13, Dataset!$A$2:$N$40, 2, FALSE), "")</f>
        <v>20020</v>
      </c>
      <c r="D13" s="11"/>
      <c r="E13" s="11"/>
      <c r="F13" s="8"/>
    </row>
    <row r="14" spans="1:7" ht="14.4" x14ac:dyDescent="0.3">
      <c r="A14" s="7" t="s">
        <v>16</v>
      </c>
      <c r="B14" s="11">
        <v>0</v>
      </c>
      <c r="C14" s="11">
        <f>IFERROR(VLOOKUP($A14, Dataset!$A$2:$N$40, 2, FALSE), "")</f>
        <v>20022</v>
      </c>
      <c r="D14" s="11"/>
      <c r="E14" s="11"/>
      <c r="F14" s="8"/>
    </row>
    <row r="15" spans="1:7" ht="14.4" x14ac:dyDescent="0.3">
      <c r="A15" s="7" t="s">
        <v>18</v>
      </c>
      <c r="B15" s="1">
        <v>26.8</v>
      </c>
      <c r="C15" s="11">
        <f>IFERROR(VLOOKUP($A15, Dataset!$A$2:$N$40, 2, FALSE), "")</f>
        <v>20026</v>
      </c>
      <c r="D15" s="11"/>
      <c r="E15" s="11"/>
      <c r="F15" s="8"/>
    </row>
    <row r="16" spans="1:7" ht="14.4" x14ac:dyDescent="0.3">
      <c r="A16" s="7" t="s">
        <v>20</v>
      </c>
      <c r="B16" s="1">
        <v>28.5</v>
      </c>
      <c r="C16" s="11">
        <f>IFERROR(VLOOKUP($A16, Dataset!$A$2:$N$40, 2, FALSE), "")</f>
        <v>20030</v>
      </c>
      <c r="D16" s="11"/>
      <c r="E16" s="11"/>
      <c r="F16" s="8"/>
    </row>
    <row r="17" spans="1:6" ht="14.4" x14ac:dyDescent="0.3">
      <c r="A17" s="7" t="s">
        <v>22</v>
      </c>
      <c r="B17" s="1">
        <v>30.7</v>
      </c>
      <c r="C17" s="11">
        <f>IFERROR(VLOOKUP($A17, Dataset!$A$2:$N$40, 2, FALSE), "")</f>
        <v>20034</v>
      </c>
      <c r="D17" s="11"/>
      <c r="E17" s="11"/>
      <c r="F17" s="8"/>
    </row>
    <row r="18" spans="1:6" ht="14.4" x14ac:dyDescent="0.3">
      <c r="A18" s="7" t="s">
        <v>23</v>
      </c>
      <c r="B18" s="1">
        <v>33.799999999999997</v>
      </c>
      <c r="C18" s="11">
        <f>IFERROR(VLOOKUP($A18, Dataset!$A$2:$N$40, 2, FALSE), "")</f>
        <v>20036</v>
      </c>
      <c r="D18" s="11"/>
      <c r="E18" s="11"/>
      <c r="F18" s="8"/>
    </row>
    <row r="19" spans="1:6" ht="14.4" x14ac:dyDescent="0.3">
      <c r="A19" s="7" t="s">
        <v>24</v>
      </c>
      <c r="B19" s="1">
        <v>34.700000000000003</v>
      </c>
      <c r="C19" s="11">
        <f>IFERROR(VLOOKUP($A19, Dataset!$A$2:$N$40, 2, FALSE), "")</f>
        <v>20038</v>
      </c>
      <c r="D19" s="11"/>
      <c r="E19" s="11"/>
      <c r="F19" s="8"/>
    </row>
    <row r="20" spans="1:6" ht="14.4" x14ac:dyDescent="0.3">
      <c r="A20" s="7" t="s">
        <v>28</v>
      </c>
      <c r="B20" s="11">
        <v>0</v>
      </c>
      <c r="C20" s="11">
        <f>IFERROR(VLOOKUP($A20, Dataset!$A$2:$N$40, 2, FALSE), "")</f>
        <v>20048</v>
      </c>
      <c r="D20" s="11"/>
      <c r="E20" s="11"/>
      <c r="F20" s="8"/>
    </row>
    <row r="21" spans="1:6" ht="14.4" x14ac:dyDescent="0.3">
      <c r="A21" s="7" t="s">
        <v>57</v>
      </c>
      <c r="B21" s="1">
        <v>41.3</v>
      </c>
      <c r="C21" s="11">
        <f>IFERROR(VLOOKUP($A21, Dataset!$A$2:$N$40, 2, FALSE), "")</f>
        <v>20050</v>
      </c>
      <c r="D21" s="11"/>
      <c r="E21" s="11"/>
      <c r="F21" s="8"/>
    </row>
    <row r="22" spans="1:6" ht="14.4" x14ac:dyDescent="0.3">
      <c r="A22" s="7" t="s">
        <v>58</v>
      </c>
      <c r="B22" s="11">
        <v>-1</v>
      </c>
      <c r="C22" s="11">
        <f>IFERROR(VLOOKUP($A22, Dataset!$A$2:$N$40, 2, FALSE), "")</f>
        <v>20058</v>
      </c>
      <c r="D22" s="11"/>
      <c r="E22" s="11"/>
      <c r="F22" s="8"/>
    </row>
    <row r="23" spans="1:6" ht="14.4" x14ac:dyDescent="0.3">
      <c r="A23" s="7" t="s">
        <v>31</v>
      </c>
      <c r="B23" s="1">
        <v>45</v>
      </c>
      <c r="C23" s="11">
        <f>IFERROR(VLOOKUP($A23, Dataset!$A$2:$N$40, 2, FALSE), "")</f>
        <v>20060</v>
      </c>
      <c r="D23" s="11"/>
      <c r="E23" s="11"/>
      <c r="F23" s="8"/>
    </row>
    <row r="24" spans="1:6" ht="14.4" x14ac:dyDescent="0.3">
      <c r="A24" s="7" t="s">
        <v>32</v>
      </c>
      <c r="B24" s="11">
        <v>-1</v>
      </c>
      <c r="C24" s="11">
        <f>IFERROR(VLOOKUP($A24, Dataset!$A$2:$N$40, 2, FALSE), "")</f>
        <v>21000</v>
      </c>
      <c r="D24" s="11"/>
      <c r="E24" s="11"/>
      <c r="F24" s="8"/>
    </row>
    <row r="25" spans="1:6" ht="14.4" x14ac:dyDescent="0.3">
      <c r="A25" s="7" t="s">
        <v>34</v>
      </c>
      <c r="B25" s="1">
        <v>43.3</v>
      </c>
      <c r="C25" s="11">
        <f>IFERROR(VLOOKUP($A25, Dataset!$A$2:$N$40, 2, FALSE), "")</f>
        <v>21004</v>
      </c>
      <c r="D25" s="11"/>
      <c r="E25" s="11"/>
      <c r="F25" s="8"/>
    </row>
    <row r="26" spans="1:6" ht="14.4" x14ac:dyDescent="0.3">
      <c r="A26" s="7" t="s">
        <v>37</v>
      </c>
      <c r="B26" s="1">
        <v>49.1</v>
      </c>
      <c r="C26" s="11">
        <f>IFERROR(VLOOKUP($A26, Dataset!$A$2:$N$40, 2, FALSE), "")</f>
        <v>21012</v>
      </c>
      <c r="D26" s="11"/>
      <c r="E26" s="11"/>
      <c r="F26" s="8"/>
    </row>
    <row r="27" spans="1:6" ht="14.4" x14ac:dyDescent="0.3">
      <c r="A27" s="7" t="s">
        <v>39</v>
      </c>
      <c r="B27" s="1">
        <v>51.8</v>
      </c>
      <c r="C27" s="11">
        <f>IFERROR(VLOOKUP($A27, Dataset!$A$2:$N$40, 2, FALSE), "")</f>
        <v>21016</v>
      </c>
      <c r="D27" s="11"/>
      <c r="E27" s="11"/>
      <c r="F27" s="8"/>
    </row>
    <row r="28" spans="1:6" ht="14.4" x14ac:dyDescent="0.3">
      <c r="A28" s="18" t="s">
        <v>82</v>
      </c>
      <c r="B28" s="30">
        <f>MIN(B6:B27)</f>
        <v>-1</v>
      </c>
      <c r="C28" s="11" t="str">
        <f>IFERROR(VLOOKUP($A28, Dataset!$A$2:$N$40, 2, FALSE), "")</f>
        <v/>
      </c>
      <c r="D28" s="30"/>
      <c r="E28" s="30"/>
      <c r="F28" s="30"/>
    </row>
    <row r="29" spans="1:6" ht="14.4" x14ac:dyDescent="0.3">
      <c r="A29" s="18" t="s">
        <v>83</v>
      </c>
      <c r="B29" s="30">
        <f>MAX(B6:B28)</f>
        <v>51.8</v>
      </c>
      <c r="C29" s="11" t="str">
        <f>IFERROR(VLOOKUP($A29, Dataset!$A$2:$N$40, 2, FALSE), "")</f>
        <v/>
      </c>
      <c r="D29" s="30"/>
      <c r="E29" s="30"/>
      <c r="F29" s="30"/>
    </row>
    <row r="30" spans="1:6" ht="14.4" x14ac:dyDescent="0.3">
      <c r="A30" s="18" t="s">
        <v>84</v>
      </c>
      <c r="B30" s="30">
        <f>AVERAGE(B6:B29)</f>
        <v>21.062500000000004</v>
      </c>
      <c r="C30" s="30"/>
      <c r="D30" s="30"/>
      <c r="E30" s="30"/>
      <c r="F30" s="30"/>
    </row>
  </sheetData>
  <conditionalFormatting sqref="B6:B13 B15:B19 B21 B23 B25">
    <cfRule type="expression" dxfId="17" priority="35">
      <formula>AND(ISNUMBER($1:$1048576),$1:$1048576=0)</formula>
    </cfRule>
    <cfRule type="cellIs" dxfId="16" priority="36" operator="equal">
      <formula>-1</formula>
    </cfRule>
  </conditionalFormatting>
  <conditionalFormatting sqref="B6:B9">
    <cfRule type="cellIs" dxfId="15" priority="34" operator="equal">
      <formula>0</formula>
    </cfRule>
  </conditionalFormatting>
  <conditionalFormatting sqref="B10:B11">
    <cfRule type="cellIs" dxfId="14" priority="31" operator="equal">
      <formula>0</formula>
    </cfRule>
  </conditionalFormatting>
  <conditionalFormatting sqref="B12:B13">
    <cfRule type="cellIs" dxfId="13" priority="28" operator="equal">
      <formula>0</formula>
    </cfRule>
  </conditionalFormatting>
  <conditionalFormatting sqref="B15">
    <cfRule type="cellIs" dxfId="12" priority="25" operator="equal">
      <formula>0</formula>
    </cfRule>
  </conditionalFormatting>
  <conditionalFormatting sqref="B16">
    <cfRule type="cellIs" dxfId="11" priority="22" operator="equal">
      <formula>0</formula>
    </cfRule>
  </conditionalFormatting>
  <conditionalFormatting sqref="B17:B18">
    <cfRule type="cellIs" dxfId="10" priority="19" operator="equal">
      <formula>0</formula>
    </cfRule>
  </conditionalFormatting>
  <conditionalFormatting sqref="B19">
    <cfRule type="cellIs" dxfId="9" priority="16" operator="equal">
      <formula>0</formula>
    </cfRule>
  </conditionalFormatting>
  <conditionalFormatting sqref="B21">
    <cfRule type="cellIs" dxfId="8" priority="13" operator="equal">
      <formula>0</formula>
    </cfRule>
  </conditionalFormatting>
  <conditionalFormatting sqref="B23">
    <cfRule type="cellIs" dxfId="7" priority="10" operator="equal">
      <formula>0</formula>
    </cfRule>
  </conditionalFormatting>
  <conditionalFormatting sqref="B25">
    <cfRule type="cellIs" dxfId="6" priority="7" operator="equal">
      <formula>0</formula>
    </cfRule>
  </conditionalFormatting>
  <conditionalFormatting sqref="B26">
    <cfRule type="expression" dxfId="5" priority="5">
      <formula>AND(ISNUMBER($1:$1048576),$1:$1048576=0)</formula>
    </cfRule>
    <cfRule type="cellIs" dxfId="4" priority="6" operator="equal">
      <formula>-1</formula>
    </cfRule>
  </conditionalFormatting>
  <conditionalFormatting sqref="B26">
    <cfRule type="cellIs" dxfId="3" priority="4" operator="equal">
      <formula>0</formula>
    </cfRule>
  </conditionalFormatting>
  <conditionalFormatting sqref="B27">
    <cfRule type="expression" dxfId="2" priority="2">
      <formula>AND(ISNUMBER($1:$1048576),$1:$1048576=0)</formula>
    </cfRule>
    <cfRule type="cellIs" dxfId="1" priority="3" operator="equal">
      <formula>-1</formula>
    </cfRule>
  </conditionalFormatting>
  <conditionalFormatting sqref="B27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K54"/>
  <sheetViews>
    <sheetView topLeftCell="A2" zoomScaleNormal="100" workbookViewId="0">
      <selection activeCell="E16" sqref="E16:E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1" s="40" customFormat="1" ht="21" x14ac:dyDescent="0.4">
      <c r="A1" s="41" t="s">
        <v>56</v>
      </c>
      <c r="B1" s="40" t="s">
        <v>174</v>
      </c>
    </row>
    <row r="2" spans="1:11" customFormat="1" ht="13.2" x14ac:dyDescent="0.25"/>
    <row r="3" spans="1:11" s="2" customFormat="1" x14ac:dyDescent="0.3">
      <c r="B3" s="1"/>
    </row>
    <row r="4" spans="1:11" s="2" customFormat="1" x14ac:dyDescent="0.3">
      <c r="B4" s="1" t="s">
        <v>151</v>
      </c>
    </row>
    <row r="5" spans="1:11" ht="18" x14ac:dyDescent="0.35">
      <c r="A5" s="42" t="s">
        <v>53</v>
      </c>
      <c r="B5" s="39"/>
    </row>
    <row r="6" spans="1:11" ht="18" x14ac:dyDescent="0.35">
      <c r="A6" s="42" t="s">
        <v>153</v>
      </c>
      <c r="B6" s="39"/>
    </row>
    <row r="7" spans="1:11" ht="18" x14ac:dyDescent="0.35">
      <c r="A7" s="42"/>
      <c r="B7" s="39"/>
    </row>
    <row r="9" spans="1:11" ht="23.4" x14ac:dyDescent="0.45">
      <c r="A9" s="17" t="s">
        <v>165</v>
      </c>
      <c r="I9" s="2"/>
      <c r="J9" s="2"/>
    </row>
    <row r="10" spans="1:11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1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1" ht="23.4" x14ac:dyDescent="0.45">
      <c r="A14" s="17" t="s">
        <v>162</v>
      </c>
    </row>
    <row r="15" spans="1:11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  <c r="K15" s="44"/>
    </row>
    <row r="16" spans="1:11" x14ac:dyDescent="0.3">
      <c r="A16" s="7" t="s">
        <v>121</v>
      </c>
      <c r="B16" s="44" t="str">
        <f>LEFT(A16,SEARCH("-",A16)-1)</f>
        <v>20000</v>
      </c>
      <c r="C16" s="1" t="str">
        <f>MID(A16,SEARCH("-",A16)+1,SEARCH("-",A16,SEARCH("-",A16)+1)-SEARCH("-",A16)-1)</f>
        <v>Monday</v>
      </c>
      <c r="D16" s="11" t="str">
        <f>MID(A16,SEARCH("-",A16,SEARCH("-",A16)+1)+1,SEARCH("-",A16,SEARCH("-",A16,SEARCH("-",A16)+1)+1)-SEARCH("-",A16,SEARCH("-",A16)+1)-1)</f>
        <v>0</v>
      </c>
      <c r="E16" s="1" t="str">
        <f>MID(A16, SEARCH("-", A16, SEARCH("-", A16, SEARCH("-", A16) + 1) + 1) + 1, SEARCH("-", A16, SEARCH("-", A16, SEARCH("-", A16, SEARCH("-", A16) + 1) + 1) + 1) - SEARCH("-", A16, SEARCH("-", A16, SEARCH("-", A16) + 1) + 1) - 1)</f>
        <v>Sunday</v>
      </c>
      <c r="F16" s="11" t="str">
        <f>RIGHT(A16,LEN(A16)-SEARCH("-",A16,SEARCH("-",A16,SEARCH("-",A16,SEARCH("-",A16)+1)+1)+1))</f>
        <v>24</v>
      </c>
    </row>
    <row r="17" spans="1:6" x14ac:dyDescent="0.3">
      <c r="A17" s="7" t="s">
        <v>122</v>
      </c>
      <c r="B17" s="44" t="str">
        <f t="shared" ref="B17:B54" si="0">LEFT(A17,SEARCH("-",A17)-1)</f>
        <v>20002</v>
      </c>
      <c r="C17" s="1" t="str">
        <f t="shared" ref="C17:C54" si="1">MID(A17,SEARCH("-",A17)+1,SEARCH("-",A17,SEARCH("-",A17)+1)-SEARCH("-",A17)-1)</f>
        <v>Monday</v>
      </c>
      <c r="D17" s="11" t="str">
        <f t="shared" ref="D17:D54" si="2">MID(A17,SEARCH("-",A17,SEARCH("-",A17)+1)+1,SEARCH("-",A17,SEARCH("-",A17,SEARCH("-",A17)+1)+1)-SEARCH("-",A17,SEARCH("-",A17)+1)-1)</f>
        <v>0</v>
      </c>
      <c r="E17" s="1" t="str">
        <f t="shared" ref="E17:E54" si="3">MID(A17, SEARCH("-", A17, SEARCH("-", A17, SEARCH("-", A17) + 1) + 1) + 1, SEARCH("-", A17, SEARCH("-", A17, SEARCH("-", A17, SEARCH("-", A17) + 1) + 1) + 1) - SEARCH("-", A17, SEARCH("-", A17, SEARCH("-", A17) + 1) + 1) - 1)</f>
        <v>Sunday</v>
      </c>
      <c r="F17" s="11" t="str">
        <f t="shared" ref="F17:F54" si="4">RIGHT(A17,LEN(A17)-SEARCH("-",A17,SEARCH("-",A17,SEARCH("-",A17,SEARCH("-",A17)+1)+1)+1))</f>
        <v>24</v>
      </c>
    </row>
    <row r="18" spans="1:6" x14ac:dyDescent="0.3">
      <c r="A18" s="7" t="s">
        <v>123</v>
      </c>
      <c r="B18" s="44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44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44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44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44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44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44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44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44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44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44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44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44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44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44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44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44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44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44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44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44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44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44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44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44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44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44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44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44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44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44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44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44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44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44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44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44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="82" zoomScaleNormal="82" workbookViewId="0">
      <selection activeCell="G24" sqref="G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 t="str">
        <f>INDEX($M$9:$N$18, MATCH(A23, $M$9:$M$18, 0), 2)</f>
        <v>A</v>
      </c>
    </row>
    <row r="24" spans="1:14" ht="14.4" x14ac:dyDescent="0.3">
      <c r="A24" s="7">
        <v>10100</v>
      </c>
      <c r="B24" s="11">
        <v>10104</v>
      </c>
      <c r="C24" s="43" t="str">
        <f t="shared" ref="C24:C35" si="0">INDEX($M$9:$N$18, MATCH(A24, $M$9:$M$18, 0), 2)</f>
        <v>A</v>
      </c>
    </row>
    <row r="25" spans="1:14" ht="14.4" x14ac:dyDescent="0.3">
      <c r="A25" s="7">
        <v>10108</v>
      </c>
      <c r="B25" s="11">
        <v>10102</v>
      </c>
      <c r="C25" s="43" t="str">
        <f t="shared" si="0"/>
        <v>E</v>
      </c>
    </row>
    <row r="26" spans="1:14" ht="14.4" x14ac:dyDescent="0.3">
      <c r="A26" s="7">
        <v>10100</v>
      </c>
      <c r="B26" s="11">
        <v>10106</v>
      </c>
      <c r="C26" s="43" t="str">
        <f t="shared" si="0"/>
        <v>A</v>
      </c>
    </row>
    <row r="27" spans="1:14" ht="14.4" x14ac:dyDescent="0.3">
      <c r="A27" s="7">
        <v>10108</v>
      </c>
      <c r="B27" s="11">
        <v>10110</v>
      </c>
      <c r="C27" s="43" t="str">
        <f t="shared" si="0"/>
        <v>E</v>
      </c>
    </row>
    <row r="28" spans="1:14" ht="14.4" x14ac:dyDescent="0.3">
      <c r="A28" s="7">
        <v>10102</v>
      </c>
      <c r="B28" s="11">
        <v>10104</v>
      </c>
      <c r="C28" s="43" t="str">
        <f t="shared" si="0"/>
        <v>B</v>
      </c>
    </row>
    <row r="29" spans="1:14" ht="14.4" x14ac:dyDescent="0.3">
      <c r="A29" s="7">
        <v>10106</v>
      </c>
      <c r="B29" s="11">
        <v>10108</v>
      </c>
      <c r="C29" s="43" t="str">
        <f t="shared" si="0"/>
        <v>D</v>
      </c>
    </row>
    <row r="30" spans="1:14" ht="14.4" x14ac:dyDescent="0.3">
      <c r="A30" s="7">
        <v>10102</v>
      </c>
      <c r="B30" s="11">
        <v>10106</v>
      </c>
      <c r="C30" s="43" t="str">
        <f t="shared" si="0"/>
        <v>B</v>
      </c>
    </row>
    <row r="31" spans="1:14" ht="14.4" x14ac:dyDescent="0.3">
      <c r="A31" s="7">
        <v>10110</v>
      </c>
      <c r="B31" s="11">
        <v>10114</v>
      </c>
      <c r="C31" s="43" t="str">
        <f t="shared" si="0"/>
        <v>F</v>
      </c>
    </row>
    <row r="32" spans="1:14" ht="14.4" x14ac:dyDescent="0.3">
      <c r="A32" s="7">
        <v>10104</v>
      </c>
      <c r="B32" s="11">
        <v>10106</v>
      </c>
      <c r="C32" s="43" t="str">
        <f t="shared" si="0"/>
        <v>C</v>
      </c>
    </row>
    <row r="33" spans="1:3" ht="14.4" x14ac:dyDescent="0.3">
      <c r="A33" s="7">
        <v>10110</v>
      </c>
      <c r="B33" s="11">
        <v>10112</v>
      </c>
      <c r="C33" s="43" t="str">
        <f t="shared" si="0"/>
        <v>F</v>
      </c>
    </row>
    <row r="34" spans="1:3" ht="14.4" x14ac:dyDescent="0.3">
      <c r="A34" s="7">
        <v>10100</v>
      </c>
      <c r="B34" s="11">
        <v>10114</v>
      </c>
      <c r="C34" s="43" t="str">
        <f t="shared" si="0"/>
        <v>A</v>
      </c>
    </row>
    <row r="35" spans="1:3" ht="14.4" x14ac:dyDescent="0.3">
      <c r="A35" s="9">
        <v>10112</v>
      </c>
      <c r="B35" s="12">
        <v>10116</v>
      </c>
      <c r="C35" s="43" t="str">
        <f t="shared" si="0"/>
        <v>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shamyuktha chandran</cp:lastModifiedBy>
  <dcterms:created xsi:type="dcterms:W3CDTF">2015-02-10T17:33:11Z</dcterms:created>
  <dcterms:modified xsi:type="dcterms:W3CDTF">2023-12-10T11:30:06Z</dcterms:modified>
</cp:coreProperties>
</file>